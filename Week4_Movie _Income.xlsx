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odarana/Downloads/"/>
    </mc:Choice>
  </mc:AlternateContent>
  <xr:revisionPtr revIDLastSave="0" documentId="8_{46AD5CDB-8F18-094C-90D1-57AC88C2F335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Movie Inc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1" l="1"/>
  <c r="D98" i="1"/>
  <c r="D82" i="1"/>
  <c r="D48" i="1"/>
  <c r="D2" i="1"/>
</calcChain>
</file>

<file path=xl/sharedStrings.xml><?xml version="1.0" encoding="utf-8"?>
<sst xmlns="http://schemas.openxmlformats.org/spreadsheetml/2006/main" count="450" uniqueCount="123">
  <si>
    <t>Genre</t>
  </si>
  <si>
    <t>Certificate</t>
  </si>
  <si>
    <t>Director</t>
  </si>
  <si>
    <t>Box Office</t>
  </si>
  <si>
    <t>Action</t>
  </si>
  <si>
    <t>Joel Schumacher</t>
  </si>
  <si>
    <t>Tim Burton</t>
  </si>
  <si>
    <t>Zack Snyder</t>
  </si>
  <si>
    <t>12A</t>
  </si>
  <si>
    <t>Ang Lee</t>
  </si>
  <si>
    <t>Anthony Russo</t>
  </si>
  <si>
    <t>Bryan Singer</t>
  </si>
  <si>
    <t>Carl Rinsch</t>
  </si>
  <si>
    <t>Christopher McQuarrie</t>
  </si>
  <si>
    <t>Christopher Nolan</t>
  </si>
  <si>
    <t>Gareth Edwards</t>
  </si>
  <si>
    <t>Guillermo del Toro</t>
  </si>
  <si>
    <t>Guy Ritchie</t>
  </si>
  <si>
    <t>James Mangold</t>
  </si>
  <si>
    <t>James Wan</t>
  </si>
  <si>
    <t>Jon Favreau</t>
  </si>
  <si>
    <t>Joss Whedon</t>
  </si>
  <si>
    <t>Justin Lin</t>
  </si>
  <si>
    <t>Marc Webb</t>
  </si>
  <si>
    <t>Matt Reeves</t>
  </si>
  <si>
    <t>Matthew Vaughn</t>
  </si>
  <si>
    <t>Peter Berg</t>
  </si>
  <si>
    <t>Rob Cohen</t>
  </si>
  <si>
    <t>Sam Raimi</t>
  </si>
  <si>
    <t>Shane Black</t>
  </si>
  <si>
    <t>Antoine Fuqua</t>
  </si>
  <si>
    <t>David Ayer</t>
  </si>
  <si>
    <t>John McTiernan</t>
  </si>
  <si>
    <t>Len Wiseman</t>
  </si>
  <si>
    <t>Michael Bay</t>
  </si>
  <si>
    <t>Patrick Hughes</t>
  </si>
  <si>
    <t>Renny Harlin</t>
  </si>
  <si>
    <t>Richard Donner</t>
  </si>
  <si>
    <t>Ridley Scott</t>
  </si>
  <si>
    <t>John Woo</t>
  </si>
  <si>
    <t>Jonathan Hensleigh</t>
  </si>
  <si>
    <t>Kathryn Bigelow</t>
  </si>
  <si>
    <t>Ted Post</t>
  </si>
  <si>
    <t>PG</t>
  </si>
  <si>
    <t>Akira Kurosawa</t>
  </si>
  <si>
    <t>Richard Lester</t>
  </si>
  <si>
    <t>Adventure</t>
  </si>
  <si>
    <t>Gore Verbinski</t>
  </si>
  <si>
    <t>Hark Tsui</t>
  </si>
  <si>
    <t>Kevin Reynolds</t>
  </si>
  <si>
    <t>Stephen Sommers</t>
  </si>
  <si>
    <t>Wolfgang Peterson</t>
  </si>
  <si>
    <t>Colin Trevorrow</t>
  </si>
  <si>
    <t>Francis Lawrence</t>
  </si>
  <si>
    <t>Peter Jackson</t>
  </si>
  <si>
    <t>Peter Weir</t>
  </si>
  <si>
    <t>Rob Marshall</t>
  </si>
  <si>
    <t>Steven Spielberg</t>
  </si>
  <si>
    <t>Alejandro G. Inarritu</t>
  </si>
  <si>
    <t>Edward Zwick</t>
  </si>
  <si>
    <t>Peter Yates</t>
  </si>
  <si>
    <t>Mel Gibson</t>
  </si>
  <si>
    <t>Brian Helgeland</t>
  </si>
  <si>
    <t>John Guillermin</t>
  </si>
  <si>
    <t>Jon Turteltaub</t>
  </si>
  <si>
    <t>U</t>
  </si>
  <si>
    <t>George Sidney</t>
  </si>
  <si>
    <t>Ken Annakin</t>
  </si>
  <si>
    <t>Martin Scorsese</t>
  </si>
  <si>
    <t>Michael Anderson</t>
  </si>
  <si>
    <t>Richard Fleischer</t>
  </si>
  <si>
    <t>Comedy</t>
  </si>
  <si>
    <t>Chris Columbus</t>
  </si>
  <si>
    <t>Nancy Meyers</t>
  </si>
  <si>
    <t>John Madden</t>
  </si>
  <si>
    <t>Edgar Wright</t>
  </si>
  <si>
    <t>Jean-Pierre Jeunet</t>
  </si>
  <si>
    <t>John Landis</t>
  </si>
  <si>
    <t>Kevin Smith</t>
  </si>
  <si>
    <t>Robert Aldrich</t>
  </si>
  <si>
    <t>Lewis Milestone</t>
  </si>
  <si>
    <t>Charlie Chaplin</t>
  </si>
  <si>
    <t>Frank Capra</t>
  </si>
  <si>
    <t>Stanley Kramer</t>
  </si>
  <si>
    <t>Fantasy</t>
  </si>
  <si>
    <t>David Yates</t>
  </si>
  <si>
    <t>Mike Newell</t>
  </si>
  <si>
    <t>John Milius</t>
  </si>
  <si>
    <t>Alfonso Cuaron</t>
  </si>
  <si>
    <t>Andrew Adamson</t>
  </si>
  <si>
    <t>Ron Howard</t>
  </si>
  <si>
    <t>Cecil B. DeMille</t>
  </si>
  <si>
    <t>Don Chaffey</t>
  </si>
  <si>
    <t>Science Fiction</t>
  </si>
  <si>
    <t>J. J. Abrams</t>
  </si>
  <si>
    <t>Mimi Leder</t>
  </si>
  <si>
    <t>Roland Emmerich</t>
  </si>
  <si>
    <t>Alan Taylor</t>
  </si>
  <si>
    <t>Andrew Stanton</t>
  </si>
  <si>
    <t>Gary Ross</t>
  </si>
  <si>
    <t>George Lucas</t>
  </si>
  <si>
    <t>James Cameron</t>
  </si>
  <si>
    <t>James Gunn</t>
  </si>
  <si>
    <t>Lana (Larry) Wachowski</t>
  </si>
  <si>
    <t>Lilly (Andy) Wachowski</t>
  </si>
  <si>
    <t>Roger Spottiswoode</t>
  </si>
  <si>
    <t>David Lynch</t>
  </si>
  <si>
    <t>Leonard Nimoy</t>
  </si>
  <si>
    <t>Luc Besson</t>
  </si>
  <si>
    <t>Irvin Kershner</t>
  </si>
  <si>
    <t>Richard Marquand</t>
  </si>
  <si>
    <t>Robert Wise</t>
  </si>
  <si>
    <t>Group 2</t>
  </si>
  <si>
    <t>Group 3</t>
  </si>
  <si>
    <t>Group 4</t>
  </si>
  <si>
    <t>Group 5</t>
  </si>
  <si>
    <t>Group1</t>
  </si>
  <si>
    <t xml:space="preserve">Underage </t>
  </si>
  <si>
    <t>Need Parent</t>
  </si>
  <si>
    <t>Get in Free</t>
  </si>
  <si>
    <t xml:space="preserve">Legal </t>
  </si>
  <si>
    <t>Parent or Guardian</t>
  </si>
  <si>
    <t>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</si>
</sst>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2D3B45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164" fontId="0" fillId="0" borderId="0" xfId="1" applyFont="1"/>
    <xf numFmtId="164" fontId="0" fillId="33" borderId="0" xfId="1" applyFont="1" applyFill="1"/>
    <xf numFmtId="164" fontId="0" fillId="34" borderId="0" xfId="1" applyFont="1" applyFill="1"/>
    <xf numFmtId="0" fontId="18" fillId="0" borderId="0" xfId="0" applyFont="1"/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C00000"/>
      </font>
      <fill>
        <patternFill patternType="solid"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topLeftCell="A139" workbookViewId="0">
      <selection activeCell="M148" sqref="M148"/>
    </sheetView>
  </sheetViews>
  <sheetFormatPr baseColWidth="10" defaultColWidth="8.83203125" defaultRowHeight="15" outlineLevelRow="1" x14ac:dyDescent="0.2"/>
  <cols>
    <col min="1" max="1" width="14.83203125" customWidth="1"/>
    <col min="2" max="2" width="16.6640625" style="1" customWidth="1"/>
    <col min="3" max="3" width="16.83203125" customWidth="1"/>
    <col min="4" max="4" width="31" style="2" customWidth="1"/>
    <col min="8" max="8" width="17.33203125" customWidth="1"/>
  </cols>
  <sheetData>
    <row r="1" spans="1:8" x14ac:dyDescent="0.2">
      <c r="A1" t="s">
        <v>0</v>
      </c>
      <c r="B1" s="1" t="s">
        <v>1</v>
      </c>
      <c r="C1" t="s">
        <v>2</v>
      </c>
      <c r="D1" s="2" t="s">
        <v>3</v>
      </c>
    </row>
    <row r="2" spans="1:8" x14ac:dyDescent="0.2">
      <c r="A2" s="7" t="s">
        <v>116</v>
      </c>
      <c r="B2" s="7"/>
      <c r="C2" s="7"/>
      <c r="D2" s="3">
        <f>SUM(D3:D47)</f>
        <v>30237314498</v>
      </c>
    </row>
    <row r="3" spans="1:8" outlineLevel="1" x14ac:dyDescent="0.2">
      <c r="A3" t="s">
        <v>4</v>
      </c>
      <c r="B3" s="1" t="s">
        <v>117</v>
      </c>
      <c r="C3" t="s">
        <v>5</v>
      </c>
      <c r="D3" s="2">
        <v>336500000</v>
      </c>
      <c r="G3" s="1">
        <v>12</v>
      </c>
      <c r="H3" s="1" t="s">
        <v>117</v>
      </c>
    </row>
    <row r="4" spans="1:8" outlineLevel="1" x14ac:dyDescent="0.2">
      <c r="A4" t="s">
        <v>4</v>
      </c>
      <c r="B4" s="1" t="s">
        <v>117</v>
      </c>
      <c r="C4" t="s">
        <v>6</v>
      </c>
      <c r="D4" s="2">
        <v>411300000</v>
      </c>
      <c r="G4" s="1" t="s">
        <v>8</v>
      </c>
      <c r="H4" s="1" t="s">
        <v>118</v>
      </c>
    </row>
    <row r="5" spans="1:8" outlineLevel="1" x14ac:dyDescent="0.2">
      <c r="A5" t="s">
        <v>4</v>
      </c>
      <c r="B5" s="1" t="s">
        <v>117</v>
      </c>
      <c r="C5" t="s">
        <v>7</v>
      </c>
      <c r="D5" s="2">
        <v>873300000</v>
      </c>
      <c r="G5" s="1">
        <v>15</v>
      </c>
      <c r="H5" s="1" t="s">
        <v>119</v>
      </c>
    </row>
    <row r="6" spans="1:8" outlineLevel="1" x14ac:dyDescent="0.2">
      <c r="A6" t="s">
        <v>4</v>
      </c>
      <c r="B6" s="1" t="s">
        <v>119</v>
      </c>
      <c r="C6" t="s">
        <v>30</v>
      </c>
      <c r="D6" s="2">
        <v>95700000</v>
      </c>
      <c r="G6" s="1">
        <v>18</v>
      </c>
      <c r="H6" s="1" t="s">
        <v>120</v>
      </c>
    </row>
    <row r="7" spans="1:8" outlineLevel="1" x14ac:dyDescent="0.2">
      <c r="A7" t="s">
        <v>4</v>
      </c>
      <c r="B7" s="1" t="s">
        <v>119</v>
      </c>
      <c r="C7" t="s">
        <v>38</v>
      </c>
      <c r="D7" s="2">
        <v>115100000</v>
      </c>
      <c r="G7" s="1" t="s">
        <v>43</v>
      </c>
      <c r="H7" s="1" t="s">
        <v>121</v>
      </c>
    </row>
    <row r="8" spans="1:8" outlineLevel="1" x14ac:dyDescent="0.2">
      <c r="A8" t="s">
        <v>4</v>
      </c>
      <c r="B8" s="1" t="s">
        <v>119</v>
      </c>
      <c r="C8" t="s">
        <v>35</v>
      </c>
      <c r="D8" s="2">
        <v>206200000</v>
      </c>
      <c r="G8" s="1" t="s">
        <v>65</v>
      </c>
      <c r="H8" s="1" t="s">
        <v>122</v>
      </c>
    </row>
    <row r="9" spans="1:8" ht="15" customHeight="1" outlineLevel="1" x14ac:dyDescent="0.2">
      <c r="A9" t="s">
        <v>4</v>
      </c>
      <c r="B9" s="1" t="s">
        <v>119</v>
      </c>
      <c r="C9" t="s">
        <v>36</v>
      </c>
      <c r="D9" s="2">
        <v>240031094</v>
      </c>
      <c r="H9" s="5"/>
    </row>
    <row r="10" spans="1:8" ht="10" customHeight="1" outlineLevel="1" x14ac:dyDescent="0.2">
      <c r="A10" t="s">
        <v>4</v>
      </c>
      <c r="B10" s="1" t="s">
        <v>119</v>
      </c>
      <c r="C10" t="s">
        <v>34</v>
      </c>
      <c r="D10" s="2">
        <v>273300000</v>
      </c>
      <c r="H10" s="5"/>
    </row>
    <row r="11" spans="1:8" ht="14" customHeight="1" outlineLevel="1" x14ac:dyDescent="0.2">
      <c r="A11" t="s">
        <v>4</v>
      </c>
      <c r="B11" s="1" t="s">
        <v>119</v>
      </c>
      <c r="C11" t="s">
        <v>27</v>
      </c>
      <c r="D11" s="2">
        <v>277448382</v>
      </c>
      <c r="H11" s="5"/>
    </row>
    <row r="12" spans="1:8" ht="13" customHeight="1" outlineLevel="1" x14ac:dyDescent="0.2">
      <c r="A12" t="s">
        <v>4</v>
      </c>
      <c r="B12" s="1" t="s">
        <v>119</v>
      </c>
      <c r="C12" t="s">
        <v>37</v>
      </c>
      <c r="D12" s="2">
        <v>285444603</v>
      </c>
      <c r="H12" s="5"/>
    </row>
    <row r="13" spans="1:8" ht="14" customHeight="1" outlineLevel="1" x14ac:dyDescent="0.2">
      <c r="A13" t="s">
        <v>4</v>
      </c>
      <c r="B13" s="1" t="s">
        <v>119</v>
      </c>
      <c r="C13" t="s">
        <v>25</v>
      </c>
      <c r="D13" s="2">
        <v>414400000</v>
      </c>
      <c r="H13" s="5"/>
    </row>
    <row r="14" spans="1:8" ht="14" customHeight="1" outlineLevel="1" x14ac:dyDescent="0.2">
      <c r="A14" t="s">
        <v>4</v>
      </c>
      <c r="B14" s="1" t="s">
        <v>119</v>
      </c>
      <c r="C14" t="s">
        <v>33</v>
      </c>
      <c r="D14" s="2">
        <v>479200000</v>
      </c>
      <c r="H14" s="5"/>
    </row>
    <row r="15" spans="1:8" outlineLevel="1" x14ac:dyDescent="0.2">
      <c r="A15" t="s">
        <v>4</v>
      </c>
      <c r="B15" s="1" t="s">
        <v>119</v>
      </c>
      <c r="C15" t="s">
        <v>32</v>
      </c>
      <c r="D15" s="2">
        <v>644100155</v>
      </c>
    </row>
    <row r="16" spans="1:8" outlineLevel="1" x14ac:dyDescent="0.2">
      <c r="A16" t="s">
        <v>4</v>
      </c>
      <c r="B16" s="1" t="s">
        <v>119</v>
      </c>
      <c r="C16" t="s">
        <v>31</v>
      </c>
      <c r="D16" s="2">
        <v>745600000</v>
      </c>
    </row>
    <row r="17" spans="1:15" outlineLevel="1" x14ac:dyDescent="0.2">
      <c r="A17" t="s">
        <v>4</v>
      </c>
      <c r="B17" s="1" t="s">
        <v>120</v>
      </c>
      <c r="C17" t="s">
        <v>42</v>
      </c>
      <c r="D17" s="2">
        <v>44680473</v>
      </c>
    </row>
    <row r="18" spans="1:15" outlineLevel="1" x14ac:dyDescent="0.2">
      <c r="A18" t="s">
        <v>4</v>
      </c>
      <c r="B18" s="1" t="s">
        <v>120</v>
      </c>
      <c r="C18" t="s">
        <v>40</v>
      </c>
      <c r="D18" s="2">
        <v>54700000</v>
      </c>
    </row>
    <row r="19" spans="1:15" outlineLevel="1" x14ac:dyDescent="0.2">
      <c r="A19" t="s">
        <v>4</v>
      </c>
      <c r="B19" s="1" t="s">
        <v>120</v>
      </c>
      <c r="C19" t="s">
        <v>41</v>
      </c>
      <c r="D19" s="2">
        <v>83500000</v>
      </c>
    </row>
    <row r="20" spans="1:15" outlineLevel="1" x14ac:dyDescent="0.2">
      <c r="A20" t="s">
        <v>4</v>
      </c>
      <c r="B20" s="1" t="s">
        <v>120</v>
      </c>
      <c r="C20" t="s">
        <v>7</v>
      </c>
      <c r="D20" s="2">
        <v>185300000</v>
      </c>
    </row>
    <row r="21" spans="1:15" outlineLevel="1" x14ac:dyDescent="0.2">
      <c r="A21" t="s">
        <v>4</v>
      </c>
      <c r="B21" s="1" t="s">
        <v>120</v>
      </c>
      <c r="C21" t="s">
        <v>39</v>
      </c>
      <c r="D21" s="2">
        <v>245700000</v>
      </c>
    </row>
    <row r="22" spans="1:15" outlineLevel="1" x14ac:dyDescent="0.2">
      <c r="A22" t="s">
        <v>4</v>
      </c>
      <c r="B22" s="1" t="s">
        <v>118</v>
      </c>
      <c r="C22" t="s">
        <v>27</v>
      </c>
      <c r="D22" s="2">
        <v>76932872</v>
      </c>
    </row>
    <row r="23" spans="1:15" outlineLevel="1" x14ac:dyDescent="0.2">
      <c r="A23" t="s">
        <v>4</v>
      </c>
      <c r="B23" s="1" t="s">
        <v>118</v>
      </c>
      <c r="C23" t="s">
        <v>16</v>
      </c>
      <c r="D23" s="2">
        <v>99318987</v>
      </c>
    </row>
    <row r="24" spans="1:15" outlineLevel="1" x14ac:dyDescent="0.2">
      <c r="A24" t="s">
        <v>4</v>
      </c>
      <c r="B24" s="1" t="s">
        <v>118</v>
      </c>
      <c r="C24" t="s">
        <v>12</v>
      </c>
      <c r="D24" s="2">
        <v>151800000</v>
      </c>
    </row>
    <row r="25" spans="1:15" outlineLevel="1" x14ac:dyDescent="0.2">
      <c r="A25" t="s">
        <v>4</v>
      </c>
      <c r="B25" s="1" t="s">
        <v>118</v>
      </c>
      <c r="C25" t="s">
        <v>9</v>
      </c>
      <c r="D25" s="2">
        <v>245300000</v>
      </c>
    </row>
    <row r="26" spans="1:15" ht="20" outlineLevel="1" x14ac:dyDescent="0.2">
      <c r="A26" t="s">
        <v>4</v>
      </c>
      <c r="B26" s="1" t="s">
        <v>118</v>
      </c>
      <c r="C26" t="s">
        <v>26</v>
      </c>
      <c r="D26" s="2">
        <v>303000000</v>
      </c>
      <c r="O26" s="5"/>
    </row>
    <row r="27" spans="1:15" ht="20" outlineLevel="1" x14ac:dyDescent="0.2">
      <c r="A27" t="s">
        <v>4</v>
      </c>
      <c r="B27" s="1" t="s">
        <v>118</v>
      </c>
      <c r="C27" t="s">
        <v>25</v>
      </c>
      <c r="D27" s="2">
        <v>353600000</v>
      </c>
      <c r="O27" s="5"/>
    </row>
    <row r="28" spans="1:15" ht="20" outlineLevel="1" x14ac:dyDescent="0.2">
      <c r="A28" t="s">
        <v>4</v>
      </c>
      <c r="B28" s="1" t="s">
        <v>118</v>
      </c>
      <c r="C28" t="s">
        <v>18</v>
      </c>
      <c r="D28" s="2">
        <v>414800000</v>
      </c>
      <c r="O28" s="5"/>
    </row>
    <row r="29" spans="1:15" ht="20" outlineLevel="1" x14ac:dyDescent="0.2">
      <c r="A29" t="s">
        <v>4</v>
      </c>
      <c r="B29" s="1" t="s">
        <v>118</v>
      </c>
      <c r="C29" t="s">
        <v>15</v>
      </c>
      <c r="D29" s="2">
        <v>529100000</v>
      </c>
      <c r="O29" s="5"/>
    </row>
    <row r="30" spans="1:15" ht="20" outlineLevel="1" x14ac:dyDescent="0.2">
      <c r="A30" t="s">
        <v>4</v>
      </c>
      <c r="B30" s="1" t="s">
        <v>118</v>
      </c>
      <c r="C30" t="s">
        <v>17</v>
      </c>
      <c r="D30" s="2">
        <v>545400000</v>
      </c>
      <c r="O30" s="5"/>
    </row>
    <row r="31" spans="1:15" outlineLevel="1" x14ac:dyDescent="0.2">
      <c r="A31" t="s">
        <v>4</v>
      </c>
      <c r="B31" s="1" t="s">
        <v>118</v>
      </c>
      <c r="C31" t="s">
        <v>7</v>
      </c>
      <c r="D31" s="2">
        <v>668000000</v>
      </c>
    </row>
    <row r="32" spans="1:15" outlineLevel="1" x14ac:dyDescent="0.2">
      <c r="A32" t="s">
        <v>4</v>
      </c>
      <c r="B32" s="1" t="s">
        <v>118</v>
      </c>
      <c r="C32" t="s">
        <v>13</v>
      </c>
      <c r="D32" s="2">
        <v>682300000</v>
      </c>
    </row>
    <row r="33" spans="1:4" outlineLevel="1" x14ac:dyDescent="0.2">
      <c r="A33" t="s">
        <v>4</v>
      </c>
      <c r="B33" s="1" t="s">
        <v>118</v>
      </c>
      <c r="C33" t="s">
        <v>24</v>
      </c>
      <c r="D33" s="2">
        <v>710600000</v>
      </c>
    </row>
    <row r="34" spans="1:4" outlineLevel="1" x14ac:dyDescent="0.2">
      <c r="A34" t="s">
        <v>4</v>
      </c>
      <c r="B34" s="1" t="s">
        <v>118</v>
      </c>
      <c r="C34" t="s">
        <v>20</v>
      </c>
      <c r="D34" s="2">
        <v>1209100000</v>
      </c>
    </row>
    <row r="35" spans="1:4" outlineLevel="1" x14ac:dyDescent="0.2">
      <c r="A35" t="s">
        <v>4</v>
      </c>
      <c r="B35" s="1" t="s">
        <v>118</v>
      </c>
      <c r="C35" t="s">
        <v>29</v>
      </c>
      <c r="D35" s="2">
        <v>1215000000</v>
      </c>
    </row>
    <row r="36" spans="1:4" outlineLevel="1" x14ac:dyDescent="0.2">
      <c r="A36" t="s">
        <v>4</v>
      </c>
      <c r="B36" s="1" t="s">
        <v>118</v>
      </c>
      <c r="C36" t="s">
        <v>22</v>
      </c>
      <c r="D36" s="2">
        <v>1414800000</v>
      </c>
    </row>
    <row r="37" spans="1:4" outlineLevel="1" x14ac:dyDescent="0.2">
      <c r="A37" t="s">
        <v>4</v>
      </c>
      <c r="B37" s="1" t="s">
        <v>118</v>
      </c>
      <c r="C37" t="s">
        <v>23</v>
      </c>
      <c r="D37" s="2">
        <v>1466900000</v>
      </c>
    </row>
    <row r="38" spans="1:4" outlineLevel="1" x14ac:dyDescent="0.2">
      <c r="A38" t="s">
        <v>4</v>
      </c>
      <c r="B38" s="1" t="s">
        <v>118</v>
      </c>
      <c r="C38" t="s">
        <v>19</v>
      </c>
      <c r="D38" s="2">
        <v>1516000000</v>
      </c>
    </row>
    <row r="39" spans="1:4" outlineLevel="1" x14ac:dyDescent="0.2">
      <c r="A39" t="s">
        <v>4</v>
      </c>
      <c r="B39" s="1" t="s">
        <v>118</v>
      </c>
      <c r="C39" t="s">
        <v>10</v>
      </c>
      <c r="D39" s="2">
        <v>1867400000</v>
      </c>
    </row>
    <row r="40" spans="1:4" outlineLevel="1" x14ac:dyDescent="0.2">
      <c r="A40" t="s">
        <v>4</v>
      </c>
      <c r="B40" s="1" t="s">
        <v>118</v>
      </c>
      <c r="C40" t="s">
        <v>11</v>
      </c>
      <c r="D40" s="2">
        <v>2090792741</v>
      </c>
    </row>
    <row r="41" spans="1:4" outlineLevel="1" x14ac:dyDescent="0.2">
      <c r="A41" t="s">
        <v>4</v>
      </c>
      <c r="B41" s="1" t="s">
        <v>118</v>
      </c>
      <c r="C41" t="s">
        <v>14</v>
      </c>
      <c r="D41" s="2">
        <v>2464218673</v>
      </c>
    </row>
    <row r="42" spans="1:4" outlineLevel="1" x14ac:dyDescent="0.2">
      <c r="A42" t="s">
        <v>4</v>
      </c>
      <c r="B42" s="1" t="s">
        <v>118</v>
      </c>
      <c r="C42" t="s">
        <v>28</v>
      </c>
      <c r="D42" s="2">
        <v>2496346518</v>
      </c>
    </row>
    <row r="43" spans="1:4" outlineLevel="1" x14ac:dyDescent="0.2">
      <c r="A43" t="s">
        <v>4</v>
      </c>
      <c r="B43" s="1" t="s">
        <v>118</v>
      </c>
      <c r="C43" t="s">
        <v>21</v>
      </c>
      <c r="D43" s="2">
        <v>2925000000</v>
      </c>
    </row>
    <row r="44" spans="1:4" outlineLevel="1" x14ac:dyDescent="0.2">
      <c r="A44" t="s">
        <v>4</v>
      </c>
      <c r="B44" s="1" t="s">
        <v>121</v>
      </c>
      <c r="C44" t="s">
        <v>44</v>
      </c>
      <c r="D44" s="2">
        <v>4500000</v>
      </c>
    </row>
    <row r="45" spans="1:4" outlineLevel="1" x14ac:dyDescent="0.2">
      <c r="A45" t="s">
        <v>4</v>
      </c>
      <c r="B45" s="1" t="s">
        <v>121</v>
      </c>
      <c r="C45" t="s">
        <v>5</v>
      </c>
      <c r="D45" s="2">
        <v>238200000</v>
      </c>
    </row>
    <row r="46" spans="1:4" outlineLevel="1" x14ac:dyDescent="0.2">
      <c r="A46" t="s">
        <v>4</v>
      </c>
      <c r="B46" s="1" t="s">
        <v>121</v>
      </c>
      <c r="C46" t="s">
        <v>6</v>
      </c>
      <c r="D46" s="2">
        <v>266800000</v>
      </c>
    </row>
    <row r="47" spans="1:4" outlineLevel="1" x14ac:dyDescent="0.2">
      <c r="A47" t="s">
        <v>4</v>
      </c>
      <c r="B47" s="1" t="s">
        <v>121</v>
      </c>
      <c r="C47" t="s">
        <v>45</v>
      </c>
      <c r="D47" s="2">
        <v>270600000</v>
      </c>
    </row>
    <row r="48" spans="1:4" x14ac:dyDescent="0.2">
      <c r="A48" s="7" t="s">
        <v>112</v>
      </c>
      <c r="B48" s="7"/>
      <c r="C48" s="7"/>
      <c r="D48" s="3">
        <f>SUM(D49:D81)</f>
        <v>18097764629</v>
      </c>
    </row>
    <row r="49" spans="1:4" outlineLevel="1" x14ac:dyDescent="0.2">
      <c r="A49" t="s">
        <v>46</v>
      </c>
      <c r="B49" s="1" t="s">
        <v>117</v>
      </c>
      <c r="C49" t="s">
        <v>48</v>
      </c>
      <c r="D49" s="2">
        <v>51700000</v>
      </c>
    </row>
    <row r="50" spans="1:4" outlineLevel="1" x14ac:dyDescent="0.2">
      <c r="A50" t="s">
        <v>46</v>
      </c>
      <c r="B50" s="1" t="s">
        <v>117</v>
      </c>
      <c r="C50" t="s">
        <v>49</v>
      </c>
      <c r="D50" s="2">
        <v>264218220</v>
      </c>
    </row>
    <row r="51" spans="1:4" outlineLevel="1" x14ac:dyDescent="0.2">
      <c r="A51" t="s">
        <v>46</v>
      </c>
      <c r="B51" s="1" t="s">
        <v>117</v>
      </c>
      <c r="C51" t="s">
        <v>51</v>
      </c>
      <c r="D51" s="2">
        <v>328718434</v>
      </c>
    </row>
    <row r="52" spans="1:4" outlineLevel="1" x14ac:dyDescent="0.2">
      <c r="A52" t="s">
        <v>46</v>
      </c>
      <c r="B52" s="1" t="s">
        <v>117</v>
      </c>
      <c r="C52" t="s">
        <v>47</v>
      </c>
      <c r="D52" s="2">
        <v>654264015</v>
      </c>
    </row>
    <row r="53" spans="1:4" outlineLevel="1" collapsed="1" x14ac:dyDescent="0.2">
      <c r="A53" t="s">
        <v>46</v>
      </c>
      <c r="B53" s="1" t="s">
        <v>117</v>
      </c>
      <c r="C53" t="s">
        <v>50</v>
      </c>
      <c r="D53" s="2">
        <v>848900000</v>
      </c>
    </row>
    <row r="54" spans="1:4" outlineLevel="1" x14ac:dyDescent="0.2">
      <c r="A54" t="s">
        <v>46</v>
      </c>
      <c r="B54" s="1" t="s">
        <v>119</v>
      </c>
      <c r="C54" t="s">
        <v>60</v>
      </c>
      <c r="D54" s="2">
        <v>47300000</v>
      </c>
    </row>
    <row r="55" spans="1:4" outlineLevel="1" x14ac:dyDescent="0.2">
      <c r="A55" t="s">
        <v>46</v>
      </c>
      <c r="B55" s="1" t="s">
        <v>119</v>
      </c>
      <c r="C55" t="s">
        <v>51</v>
      </c>
      <c r="D55" s="2">
        <v>497409852</v>
      </c>
    </row>
    <row r="56" spans="1:4" outlineLevel="1" x14ac:dyDescent="0.2">
      <c r="A56" t="s">
        <v>46</v>
      </c>
      <c r="B56" s="1" t="s">
        <v>119</v>
      </c>
      <c r="C56" t="s">
        <v>58</v>
      </c>
      <c r="D56" s="2">
        <v>533000000</v>
      </c>
    </row>
    <row r="57" spans="1:4" outlineLevel="1" x14ac:dyDescent="0.2">
      <c r="A57" t="s">
        <v>46</v>
      </c>
      <c r="B57" s="1" t="s">
        <v>119</v>
      </c>
      <c r="C57" t="s">
        <v>59</v>
      </c>
      <c r="D57" s="2">
        <v>628166160</v>
      </c>
    </row>
    <row r="58" spans="1:4" outlineLevel="1" x14ac:dyDescent="0.2">
      <c r="A58" t="s">
        <v>46</v>
      </c>
      <c r="B58" s="1" t="s">
        <v>119</v>
      </c>
      <c r="C58" t="s">
        <v>38</v>
      </c>
      <c r="D58" s="2">
        <v>721598413</v>
      </c>
    </row>
    <row r="59" spans="1:4" outlineLevel="1" x14ac:dyDescent="0.2">
      <c r="A59" t="s">
        <v>46</v>
      </c>
      <c r="B59" s="1" t="s">
        <v>120</v>
      </c>
      <c r="C59" t="s">
        <v>61</v>
      </c>
      <c r="D59" s="2">
        <v>120600000</v>
      </c>
    </row>
    <row r="60" spans="1:4" outlineLevel="1" x14ac:dyDescent="0.2">
      <c r="A60" t="s">
        <v>46</v>
      </c>
      <c r="B60" s="1" t="s">
        <v>118</v>
      </c>
      <c r="C60" t="s">
        <v>30</v>
      </c>
      <c r="D60" s="2">
        <v>203600000</v>
      </c>
    </row>
    <row r="61" spans="1:4" outlineLevel="1" x14ac:dyDescent="0.2">
      <c r="A61" t="s">
        <v>46</v>
      </c>
      <c r="B61" s="1" t="s">
        <v>118</v>
      </c>
      <c r="C61" t="s">
        <v>55</v>
      </c>
      <c r="D61" s="2">
        <v>212011111</v>
      </c>
    </row>
    <row r="62" spans="1:4" outlineLevel="1" x14ac:dyDescent="0.2">
      <c r="A62" t="s">
        <v>46</v>
      </c>
      <c r="B62" s="1" t="s">
        <v>118</v>
      </c>
      <c r="C62" t="s">
        <v>54</v>
      </c>
      <c r="D62" s="2">
        <v>550500000</v>
      </c>
    </row>
    <row r="63" spans="1:4" outlineLevel="1" x14ac:dyDescent="0.2">
      <c r="A63" t="s">
        <v>46</v>
      </c>
      <c r="B63" s="1" t="s">
        <v>118</v>
      </c>
      <c r="C63" t="s">
        <v>38</v>
      </c>
      <c r="D63" s="2">
        <v>589900000</v>
      </c>
    </row>
    <row r="64" spans="1:4" outlineLevel="1" x14ac:dyDescent="0.2">
      <c r="A64" t="s">
        <v>46</v>
      </c>
      <c r="B64" s="1" t="s">
        <v>118</v>
      </c>
      <c r="C64" t="s">
        <v>57</v>
      </c>
      <c r="D64" s="2">
        <v>786600000</v>
      </c>
    </row>
    <row r="65" spans="1:4" outlineLevel="1" x14ac:dyDescent="0.2">
      <c r="A65" t="s">
        <v>46</v>
      </c>
      <c r="B65" s="1" t="s">
        <v>118</v>
      </c>
      <c r="C65" t="s">
        <v>56</v>
      </c>
      <c r="D65" s="2">
        <v>1046000000</v>
      </c>
    </row>
    <row r="66" spans="1:4" outlineLevel="1" x14ac:dyDescent="0.2">
      <c r="A66" t="s">
        <v>46</v>
      </c>
      <c r="B66" s="1" t="s">
        <v>118</v>
      </c>
      <c r="C66" t="s">
        <v>53</v>
      </c>
      <c r="D66" s="2">
        <v>1620400000</v>
      </c>
    </row>
    <row r="67" spans="1:4" outlineLevel="1" x14ac:dyDescent="0.2">
      <c r="A67" t="s">
        <v>46</v>
      </c>
      <c r="B67" s="1" t="s">
        <v>118</v>
      </c>
      <c r="C67" t="s">
        <v>52</v>
      </c>
      <c r="D67" s="2">
        <v>1670000000</v>
      </c>
    </row>
    <row r="68" spans="1:4" outlineLevel="1" x14ac:dyDescent="0.2">
      <c r="A68" t="s">
        <v>46</v>
      </c>
      <c r="B68" s="1" t="s">
        <v>118</v>
      </c>
      <c r="C68" t="s">
        <v>47</v>
      </c>
      <c r="D68" s="2">
        <v>2029600150</v>
      </c>
    </row>
    <row r="69" spans="1:4" outlineLevel="1" x14ac:dyDescent="0.2">
      <c r="A69" t="s">
        <v>46</v>
      </c>
      <c r="B69" s="1" t="s">
        <v>121</v>
      </c>
      <c r="C69" t="s">
        <v>63</v>
      </c>
      <c r="D69" s="2">
        <v>90614445</v>
      </c>
    </row>
    <row r="70" spans="1:4" outlineLevel="1" x14ac:dyDescent="0.2">
      <c r="A70" t="s">
        <v>46</v>
      </c>
      <c r="B70" s="1" t="s">
        <v>121</v>
      </c>
      <c r="C70" t="s">
        <v>62</v>
      </c>
      <c r="D70" s="2">
        <v>117500000</v>
      </c>
    </row>
    <row r="71" spans="1:4" outlineLevel="1" x14ac:dyDescent="0.2">
      <c r="A71" t="s">
        <v>46</v>
      </c>
      <c r="B71" s="1" t="s">
        <v>121</v>
      </c>
      <c r="C71" t="s">
        <v>37</v>
      </c>
      <c r="D71" s="2">
        <v>300218018</v>
      </c>
    </row>
    <row r="72" spans="1:4" outlineLevel="1" x14ac:dyDescent="0.2">
      <c r="A72" t="s">
        <v>46</v>
      </c>
      <c r="B72" s="1" t="s">
        <v>121</v>
      </c>
      <c r="C72" t="s">
        <v>49</v>
      </c>
      <c r="D72" s="2">
        <v>390493908</v>
      </c>
    </row>
    <row r="73" spans="1:4" outlineLevel="1" x14ac:dyDescent="0.2">
      <c r="A73" t="s">
        <v>46</v>
      </c>
      <c r="B73" s="1" t="s">
        <v>121</v>
      </c>
      <c r="C73" t="s">
        <v>64</v>
      </c>
      <c r="D73" s="2">
        <v>457400000</v>
      </c>
    </row>
    <row r="74" spans="1:4" outlineLevel="1" x14ac:dyDescent="0.2">
      <c r="A74" t="s">
        <v>46</v>
      </c>
      <c r="B74" s="1" t="s">
        <v>121</v>
      </c>
      <c r="C74" t="s">
        <v>9</v>
      </c>
      <c r="D74" s="2">
        <v>609000000</v>
      </c>
    </row>
    <row r="75" spans="1:4" outlineLevel="1" x14ac:dyDescent="0.2">
      <c r="A75" t="s">
        <v>46</v>
      </c>
      <c r="B75" s="1" t="s">
        <v>121</v>
      </c>
      <c r="C75" t="s">
        <v>57</v>
      </c>
      <c r="D75" s="2">
        <v>2122739903</v>
      </c>
    </row>
    <row r="76" spans="1:4" outlineLevel="1" x14ac:dyDescent="0.2">
      <c r="A76" t="s">
        <v>46</v>
      </c>
      <c r="B76" s="1" t="s">
        <v>122</v>
      </c>
      <c r="C76" t="s">
        <v>66</v>
      </c>
      <c r="D76" s="2">
        <v>8412000</v>
      </c>
    </row>
    <row r="77" spans="1:4" outlineLevel="1" x14ac:dyDescent="0.2">
      <c r="A77" t="s">
        <v>46</v>
      </c>
      <c r="B77" s="1" t="s">
        <v>122</v>
      </c>
      <c r="C77" t="s">
        <v>70</v>
      </c>
      <c r="D77" s="2">
        <v>28200000</v>
      </c>
    </row>
    <row r="78" spans="1:4" outlineLevel="1" x14ac:dyDescent="0.2">
      <c r="A78" t="s">
        <v>46</v>
      </c>
      <c r="B78" s="1" t="s">
        <v>122</v>
      </c>
      <c r="C78" t="s">
        <v>67</v>
      </c>
      <c r="D78" s="2">
        <v>40000000</v>
      </c>
    </row>
    <row r="79" spans="1:4" outlineLevel="1" x14ac:dyDescent="0.2">
      <c r="A79" t="s">
        <v>46</v>
      </c>
      <c r="B79" s="1" t="s">
        <v>122</v>
      </c>
      <c r="C79" t="s">
        <v>69</v>
      </c>
      <c r="D79" s="2">
        <v>42000000</v>
      </c>
    </row>
    <row r="80" spans="1:4" outlineLevel="1" x14ac:dyDescent="0.2">
      <c r="A80" t="s">
        <v>46</v>
      </c>
      <c r="B80" s="1" t="s">
        <v>122</v>
      </c>
      <c r="C80" t="s">
        <v>68</v>
      </c>
      <c r="D80" s="2">
        <v>185800000</v>
      </c>
    </row>
    <row r="81" spans="1:4" outlineLevel="1" x14ac:dyDescent="0.2">
      <c r="A81" t="s">
        <v>46</v>
      </c>
      <c r="B81" s="1" t="s">
        <v>122</v>
      </c>
      <c r="C81" t="s">
        <v>57</v>
      </c>
      <c r="D81" s="2">
        <v>300900000</v>
      </c>
    </row>
    <row r="82" spans="1:4" x14ac:dyDescent="0.2">
      <c r="A82" s="6" t="s">
        <v>113</v>
      </c>
      <c r="B82" s="6"/>
      <c r="C82" s="6"/>
      <c r="D82" s="4">
        <f>SUM(D83:D97)</f>
        <v>1865391736</v>
      </c>
    </row>
    <row r="83" spans="1:4" outlineLevel="1" x14ac:dyDescent="0.2">
      <c r="A83" t="s">
        <v>71</v>
      </c>
      <c r="B83" s="1" t="s">
        <v>117</v>
      </c>
      <c r="C83" t="s">
        <v>73</v>
      </c>
      <c r="D83" s="2">
        <v>374111707</v>
      </c>
    </row>
    <row r="84" spans="1:4" outlineLevel="1" x14ac:dyDescent="0.2">
      <c r="A84" t="s">
        <v>71</v>
      </c>
      <c r="B84" s="1" t="s">
        <v>117</v>
      </c>
      <c r="C84" t="s">
        <v>72</v>
      </c>
      <c r="D84" s="2">
        <v>441300000</v>
      </c>
    </row>
    <row r="85" spans="1:4" outlineLevel="1" x14ac:dyDescent="0.2">
      <c r="A85" t="s">
        <v>71</v>
      </c>
      <c r="B85" s="1" t="s">
        <v>119</v>
      </c>
      <c r="C85" t="s">
        <v>78</v>
      </c>
      <c r="D85" s="2">
        <v>31400000</v>
      </c>
    </row>
    <row r="86" spans="1:4" outlineLevel="1" x14ac:dyDescent="0.2">
      <c r="A86" t="s">
        <v>71</v>
      </c>
      <c r="B86" s="1" t="s">
        <v>119</v>
      </c>
      <c r="C86" t="s">
        <v>79</v>
      </c>
      <c r="D86" s="2">
        <v>43008075</v>
      </c>
    </row>
    <row r="87" spans="1:4" outlineLevel="1" x14ac:dyDescent="0.2">
      <c r="A87" t="s">
        <v>71</v>
      </c>
      <c r="B87" s="1" t="s">
        <v>119</v>
      </c>
      <c r="C87" t="s">
        <v>75</v>
      </c>
      <c r="D87" s="2">
        <v>80700000</v>
      </c>
    </row>
    <row r="88" spans="1:4" outlineLevel="1" x14ac:dyDescent="0.2">
      <c r="A88" t="s">
        <v>71</v>
      </c>
      <c r="B88" s="1" t="s">
        <v>119</v>
      </c>
      <c r="C88" t="s">
        <v>77</v>
      </c>
      <c r="D88" s="2">
        <v>115200000</v>
      </c>
    </row>
    <row r="89" spans="1:4" outlineLevel="1" x14ac:dyDescent="0.2">
      <c r="A89" t="s">
        <v>71</v>
      </c>
      <c r="B89" s="1" t="s">
        <v>119</v>
      </c>
      <c r="C89" t="s">
        <v>76</v>
      </c>
      <c r="D89" s="2">
        <v>173921954</v>
      </c>
    </row>
    <row r="90" spans="1:4" outlineLevel="1" x14ac:dyDescent="0.2">
      <c r="A90" t="s">
        <v>71</v>
      </c>
      <c r="B90" s="1" t="s">
        <v>118</v>
      </c>
      <c r="C90" t="s">
        <v>74</v>
      </c>
      <c r="D90" s="2">
        <v>136800000</v>
      </c>
    </row>
    <row r="91" spans="1:4" outlineLevel="1" x14ac:dyDescent="0.2">
      <c r="A91" t="s">
        <v>71</v>
      </c>
      <c r="B91" s="1" t="s">
        <v>118</v>
      </c>
      <c r="C91" t="s">
        <v>57</v>
      </c>
      <c r="D91" s="2">
        <v>219400000</v>
      </c>
    </row>
    <row r="92" spans="1:4" outlineLevel="1" x14ac:dyDescent="0.2">
      <c r="A92" t="s">
        <v>71</v>
      </c>
      <c r="B92" s="1" t="s">
        <v>121</v>
      </c>
      <c r="C92" t="s">
        <v>80</v>
      </c>
      <c r="D92" s="2">
        <v>5650000</v>
      </c>
    </row>
    <row r="93" spans="1:4" outlineLevel="1" x14ac:dyDescent="0.2">
      <c r="A93" t="s">
        <v>71</v>
      </c>
      <c r="B93" s="1" t="s">
        <v>121</v>
      </c>
      <c r="C93" t="s">
        <v>73</v>
      </c>
      <c r="D93" s="2">
        <v>83900000</v>
      </c>
    </row>
    <row r="94" spans="1:4" outlineLevel="1" x14ac:dyDescent="0.2">
      <c r="A94" t="s">
        <v>71</v>
      </c>
      <c r="B94" s="1" t="s">
        <v>121</v>
      </c>
      <c r="C94" t="s">
        <v>74</v>
      </c>
      <c r="D94" s="2">
        <v>86000000</v>
      </c>
    </row>
    <row r="95" spans="1:4" outlineLevel="1" x14ac:dyDescent="0.2">
      <c r="A95" t="s">
        <v>71</v>
      </c>
      <c r="B95" s="1" t="s">
        <v>122</v>
      </c>
      <c r="C95" t="s">
        <v>81</v>
      </c>
      <c r="D95" s="2">
        <v>5000000</v>
      </c>
    </row>
    <row r="96" spans="1:4" outlineLevel="1" x14ac:dyDescent="0.2">
      <c r="A96" t="s">
        <v>71</v>
      </c>
      <c r="B96" s="1" t="s">
        <v>122</v>
      </c>
      <c r="C96" t="s">
        <v>82</v>
      </c>
      <c r="D96" s="2">
        <v>9000000</v>
      </c>
    </row>
    <row r="97" spans="1:4" outlineLevel="1" x14ac:dyDescent="0.2">
      <c r="A97" t="s">
        <v>71</v>
      </c>
      <c r="B97" s="1" t="s">
        <v>122</v>
      </c>
      <c r="C97" t="s">
        <v>83</v>
      </c>
      <c r="D97" s="2">
        <v>60000000</v>
      </c>
    </row>
    <row r="98" spans="1:4" x14ac:dyDescent="0.2">
      <c r="A98" s="6" t="s">
        <v>114</v>
      </c>
      <c r="B98" s="6"/>
      <c r="C98" s="6"/>
      <c r="D98" s="4">
        <f>SUM(D99:D114)</f>
        <v>16212572146</v>
      </c>
    </row>
    <row r="99" spans="1:4" outlineLevel="1" x14ac:dyDescent="0.2">
      <c r="A99" t="s">
        <v>84</v>
      </c>
      <c r="B99" s="1" t="s">
        <v>119</v>
      </c>
      <c r="C99" t="s">
        <v>87</v>
      </c>
      <c r="D99" s="2">
        <v>130000000</v>
      </c>
    </row>
    <row r="100" spans="1:4" outlineLevel="1" x14ac:dyDescent="0.2">
      <c r="A100" t="s">
        <v>84</v>
      </c>
      <c r="B100" s="1" t="s">
        <v>118</v>
      </c>
      <c r="C100" t="s">
        <v>6</v>
      </c>
      <c r="D100" s="2">
        <v>271900000</v>
      </c>
    </row>
    <row r="101" spans="1:4" outlineLevel="1" x14ac:dyDescent="0.2">
      <c r="A101" t="s">
        <v>84</v>
      </c>
      <c r="B101" s="1" t="s">
        <v>118</v>
      </c>
      <c r="C101" t="s">
        <v>86</v>
      </c>
      <c r="D101" s="2">
        <v>896911078</v>
      </c>
    </row>
    <row r="102" spans="1:4" outlineLevel="1" x14ac:dyDescent="0.2">
      <c r="A102" t="s">
        <v>84</v>
      </c>
      <c r="B102" s="1" t="s">
        <v>118</v>
      </c>
      <c r="C102" t="s">
        <v>85</v>
      </c>
      <c r="D102" s="2">
        <v>4792385929</v>
      </c>
    </row>
    <row r="103" spans="1:4" outlineLevel="1" x14ac:dyDescent="0.2">
      <c r="A103" t="s">
        <v>84</v>
      </c>
      <c r="B103" s="1" t="s">
        <v>118</v>
      </c>
      <c r="C103" t="s">
        <v>54</v>
      </c>
      <c r="D103" s="2">
        <v>4980476632</v>
      </c>
    </row>
    <row r="104" spans="1:4" outlineLevel="1" x14ac:dyDescent="0.2">
      <c r="A104" t="s">
        <v>84</v>
      </c>
      <c r="B104" s="1" t="s">
        <v>121</v>
      </c>
      <c r="C104" t="s">
        <v>38</v>
      </c>
      <c r="D104" s="2">
        <v>15500000</v>
      </c>
    </row>
    <row r="105" spans="1:4" outlineLevel="1" x14ac:dyDescent="0.2">
      <c r="A105" t="s">
        <v>84</v>
      </c>
      <c r="B105" s="1" t="s">
        <v>121</v>
      </c>
      <c r="C105" t="s">
        <v>90</v>
      </c>
      <c r="D105" s="2">
        <v>57300000</v>
      </c>
    </row>
    <row r="106" spans="1:4" outlineLevel="1" x14ac:dyDescent="0.2">
      <c r="A106" t="s">
        <v>84</v>
      </c>
      <c r="B106" s="1" t="s">
        <v>121</v>
      </c>
      <c r="C106" t="s">
        <v>6</v>
      </c>
      <c r="D106" s="2">
        <v>122900000</v>
      </c>
    </row>
    <row r="107" spans="1:4" outlineLevel="1" x14ac:dyDescent="0.2">
      <c r="A107" t="s">
        <v>84</v>
      </c>
      <c r="B107" s="1" t="s">
        <v>121</v>
      </c>
      <c r="C107" t="s">
        <v>25</v>
      </c>
      <c r="D107" s="2">
        <v>135600000</v>
      </c>
    </row>
    <row r="108" spans="1:4" outlineLevel="1" x14ac:dyDescent="0.2">
      <c r="A108" t="s">
        <v>84</v>
      </c>
      <c r="B108" s="1" t="s">
        <v>121</v>
      </c>
      <c r="C108" t="s">
        <v>88</v>
      </c>
      <c r="D108" s="2">
        <v>796688549</v>
      </c>
    </row>
    <row r="109" spans="1:4" outlineLevel="1" x14ac:dyDescent="0.2">
      <c r="A109" t="s">
        <v>84</v>
      </c>
      <c r="B109" s="1" t="s">
        <v>121</v>
      </c>
      <c r="C109" t="s">
        <v>54</v>
      </c>
      <c r="D109" s="2">
        <v>871530324</v>
      </c>
    </row>
    <row r="110" spans="1:4" outlineLevel="1" x14ac:dyDescent="0.2">
      <c r="A110" t="s">
        <v>84</v>
      </c>
      <c r="B110" s="1" t="s">
        <v>121</v>
      </c>
      <c r="C110" t="s">
        <v>89</v>
      </c>
      <c r="D110" s="2">
        <v>1164700000</v>
      </c>
    </row>
    <row r="111" spans="1:4" outlineLevel="1" x14ac:dyDescent="0.2">
      <c r="A111" t="s">
        <v>84</v>
      </c>
      <c r="B111" s="1" t="s">
        <v>121</v>
      </c>
      <c r="C111" t="s">
        <v>72</v>
      </c>
      <c r="D111" s="2">
        <v>1853779634</v>
      </c>
    </row>
    <row r="112" spans="1:4" outlineLevel="1" x14ac:dyDescent="0.2">
      <c r="A112" t="s">
        <v>84</v>
      </c>
      <c r="B112" s="1" t="s">
        <v>122</v>
      </c>
      <c r="C112" t="s">
        <v>82</v>
      </c>
      <c r="D112" s="2">
        <v>3300000</v>
      </c>
    </row>
    <row r="113" spans="1:4" outlineLevel="1" x14ac:dyDescent="0.2">
      <c r="A113" t="s">
        <v>84</v>
      </c>
      <c r="B113" s="1" t="s">
        <v>122</v>
      </c>
      <c r="C113" t="s">
        <v>92</v>
      </c>
      <c r="D113" s="2">
        <v>39600000</v>
      </c>
    </row>
    <row r="114" spans="1:4" outlineLevel="1" x14ac:dyDescent="0.2">
      <c r="A114" t="s">
        <v>84</v>
      </c>
      <c r="B114" s="1" t="s">
        <v>122</v>
      </c>
      <c r="C114" t="s">
        <v>91</v>
      </c>
      <c r="D114" s="2">
        <v>80000000</v>
      </c>
    </row>
    <row r="115" spans="1:4" x14ac:dyDescent="0.2">
      <c r="A115" s="6" t="s">
        <v>115</v>
      </c>
      <c r="B115" s="6"/>
      <c r="C115" s="6"/>
      <c r="D115" s="4">
        <f>SUM(D116:D150)</f>
        <v>26366893311</v>
      </c>
    </row>
    <row r="116" spans="1:4" outlineLevel="1" x14ac:dyDescent="0.2">
      <c r="A116" t="s">
        <v>93</v>
      </c>
      <c r="B116" s="1" t="s">
        <v>121</v>
      </c>
      <c r="C116" t="s">
        <v>95</v>
      </c>
      <c r="D116" s="2">
        <v>349464664</v>
      </c>
    </row>
    <row r="117" spans="1:4" outlineLevel="1" x14ac:dyDescent="0.2">
      <c r="A117" t="s">
        <v>93</v>
      </c>
      <c r="B117" s="1" t="s">
        <v>121</v>
      </c>
      <c r="C117" t="s">
        <v>34</v>
      </c>
      <c r="D117" s="2">
        <v>553709788</v>
      </c>
    </row>
    <row r="118" spans="1:4" outlineLevel="1" x14ac:dyDescent="0.2">
      <c r="A118" t="s">
        <v>93</v>
      </c>
      <c r="B118" s="1" t="s">
        <v>121</v>
      </c>
      <c r="C118" t="s">
        <v>57</v>
      </c>
      <c r="D118" s="2">
        <v>594200000</v>
      </c>
    </row>
    <row r="119" spans="1:4" outlineLevel="1" x14ac:dyDescent="0.2">
      <c r="A119" t="s">
        <v>93</v>
      </c>
      <c r="B119" s="1" t="s">
        <v>121</v>
      </c>
      <c r="C119" t="s">
        <v>96</v>
      </c>
      <c r="D119" s="2">
        <v>817400891</v>
      </c>
    </row>
    <row r="120" spans="1:4" outlineLevel="1" x14ac:dyDescent="0.2">
      <c r="A120" t="s">
        <v>93</v>
      </c>
      <c r="B120" s="1" t="s">
        <v>121</v>
      </c>
      <c r="C120" t="s">
        <v>94</v>
      </c>
      <c r="D120" s="2">
        <v>853100000</v>
      </c>
    </row>
    <row r="121" spans="1:4" outlineLevel="1" x14ac:dyDescent="0.2">
      <c r="A121" t="s">
        <v>93</v>
      </c>
      <c r="B121" s="1" t="s">
        <v>117</v>
      </c>
      <c r="C121" t="s">
        <v>105</v>
      </c>
      <c r="D121" s="2">
        <v>96100000</v>
      </c>
    </row>
    <row r="122" spans="1:4" outlineLevel="1" x14ac:dyDescent="0.2">
      <c r="A122" t="s">
        <v>93</v>
      </c>
      <c r="B122" s="1" t="s">
        <v>117</v>
      </c>
      <c r="C122" t="s">
        <v>38</v>
      </c>
      <c r="D122" s="2">
        <v>403400000</v>
      </c>
    </row>
    <row r="123" spans="1:4" outlineLevel="1" x14ac:dyDescent="0.2">
      <c r="A123" t="s">
        <v>93</v>
      </c>
      <c r="B123" s="1" t="s">
        <v>117</v>
      </c>
      <c r="C123" t="s">
        <v>101</v>
      </c>
      <c r="D123" s="2">
        <v>606816249</v>
      </c>
    </row>
    <row r="124" spans="1:4" outlineLevel="1" x14ac:dyDescent="0.2">
      <c r="A124" t="s">
        <v>93</v>
      </c>
      <c r="B124" s="1" t="s">
        <v>117</v>
      </c>
      <c r="C124" t="s">
        <v>104</v>
      </c>
      <c r="D124" s="2">
        <v>1632971759</v>
      </c>
    </row>
    <row r="125" spans="1:4" outlineLevel="1" x14ac:dyDescent="0.2">
      <c r="A125" t="s">
        <v>93</v>
      </c>
      <c r="B125" s="1" t="s">
        <v>120</v>
      </c>
      <c r="C125" t="s">
        <v>41</v>
      </c>
      <c r="D125" s="2">
        <v>8000000</v>
      </c>
    </row>
    <row r="126" spans="1:4" outlineLevel="1" x14ac:dyDescent="0.2">
      <c r="A126" t="s">
        <v>93</v>
      </c>
      <c r="B126" s="1" t="s">
        <v>120</v>
      </c>
      <c r="C126" t="s">
        <v>101</v>
      </c>
      <c r="D126" s="2">
        <v>183300000</v>
      </c>
    </row>
    <row r="127" spans="1:4" outlineLevel="1" x14ac:dyDescent="0.2">
      <c r="A127" t="s">
        <v>93</v>
      </c>
      <c r="B127" s="1" t="s">
        <v>118</v>
      </c>
      <c r="C127" t="s">
        <v>103</v>
      </c>
      <c r="D127" s="2">
        <v>184000000</v>
      </c>
    </row>
    <row r="128" spans="1:4" outlineLevel="1" x14ac:dyDescent="0.2">
      <c r="A128" t="s">
        <v>93</v>
      </c>
      <c r="B128" s="1" t="s">
        <v>118</v>
      </c>
      <c r="C128" t="s">
        <v>98</v>
      </c>
      <c r="D128" s="2">
        <v>284100000</v>
      </c>
    </row>
    <row r="129" spans="1:4" outlineLevel="1" x14ac:dyDescent="0.2">
      <c r="A129" t="s">
        <v>93</v>
      </c>
      <c r="B129" s="1" t="s">
        <v>118</v>
      </c>
      <c r="C129" t="s">
        <v>22</v>
      </c>
      <c r="D129" s="2">
        <v>343500000</v>
      </c>
    </row>
    <row r="130" spans="1:4" outlineLevel="1" x14ac:dyDescent="0.2">
      <c r="A130" t="s">
        <v>93</v>
      </c>
      <c r="B130" s="1" t="s">
        <v>118</v>
      </c>
      <c r="C130" t="s">
        <v>15</v>
      </c>
      <c r="D130" s="2">
        <v>388100000</v>
      </c>
    </row>
    <row r="131" spans="1:4" outlineLevel="1" x14ac:dyDescent="0.2">
      <c r="A131" t="s">
        <v>93</v>
      </c>
      <c r="B131" s="1" t="s">
        <v>118</v>
      </c>
      <c r="C131" t="s">
        <v>97</v>
      </c>
      <c r="D131" s="2">
        <v>440600000</v>
      </c>
    </row>
    <row r="132" spans="1:4" outlineLevel="1" x14ac:dyDescent="0.2">
      <c r="A132" t="s">
        <v>93</v>
      </c>
      <c r="B132" s="1" t="s">
        <v>118</v>
      </c>
      <c r="C132" t="s">
        <v>38</v>
      </c>
      <c r="D132" s="2">
        <v>630200000</v>
      </c>
    </row>
    <row r="133" spans="1:4" outlineLevel="1" x14ac:dyDescent="0.2">
      <c r="A133" t="s">
        <v>93</v>
      </c>
      <c r="B133" s="1" t="s">
        <v>118</v>
      </c>
      <c r="C133" t="s">
        <v>53</v>
      </c>
      <c r="D133" s="2">
        <v>653400000</v>
      </c>
    </row>
    <row r="134" spans="1:4" outlineLevel="1" x14ac:dyDescent="0.2">
      <c r="A134" t="s">
        <v>93</v>
      </c>
      <c r="B134" s="1" t="s">
        <v>118</v>
      </c>
      <c r="C134" t="s">
        <v>99</v>
      </c>
      <c r="D134" s="2">
        <v>694400000</v>
      </c>
    </row>
    <row r="135" spans="1:4" outlineLevel="1" x14ac:dyDescent="0.2">
      <c r="A135" t="s">
        <v>93</v>
      </c>
      <c r="B135" s="1" t="s">
        <v>118</v>
      </c>
      <c r="C135" t="s">
        <v>102</v>
      </c>
      <c r="D135" s="2">
        <v>774200000</v>
      </c>
    </row>
    <row r="136" spans="1:4" outlineLevel="1" x14ac:dyDescent="0.2">
      <c r="A136" t="s">
        <v>93</v>
      </c>
      <c r="B136" s="1" t="s">
        <v>118</v>
      </c>
      <c r="C136" t="s">
        <v>100</v>
      </c>
      <c r="D136" s="2">
        <v>848800000</v>
      </c>
    </row>
    <row r="137" spans="1:4" outlineLevel="1" x14ac:dyDescent="0.2">
      <c r="A137" t="s">
        <v>93</v>
      </c>
      <c r="B137" s="1" t="s">
        <v>118</v>
      </c>
      <c r="C137" t="s">
        <v>14</v>
      </c>
      <c r="D137" s="2">
        <v>1500600000</v>
      </c>
    </row>
    <row r="138" spans="1:4" outlineLevel="1" x14ac:dyDescent="0.2">
      <c r="A138" t="s">
        <v>93</v>
      </c>
      <c r="B138" s="1" t="s">
        <v>118</v>
      </c>
      <c r="C138" t="s">
        <v>94</v>
      </c>
      <c r="D138" s="2">
        <v>2066000000</v>
      </c>
    </row>
    <row r="139" spans="1:4" outlineLevel="1" x14ac:dyDescent="0.2">
      <c r="A139" t="s">
        <v>93</v>
      </c>
      <c r="B139" s="1" t="s">
        <v>118</v>
      </c>
      <c r="C139" t="s">
        <v>101</v>
      </c>
      <c r="D139" s="2">
        <v>2788000000</v>
      </c>
    </row>
    <row r="140" spans="1:4" outlineLevel="1" x14ac:dyDescent="0.2">
      <c r="A140" t="s">
        <v>93</v>
      </c>
      <c r="B140" s="1" t="s">
        <v>118</v>
      </c>
      <c r="C140" t="s">
        <v>34</v>
      </c>
      <c r="D140" s="2">
        <v>3761009780</v>
      </c>
    </row>
    <row r="141" spans="1:4" outlineLevel="1" x14ac:dyDescent="0.2">
      <c r="A141" t="s">
        <v>93</v>
      </c>
      <c r="B141" s="1" t="s">
        <v>121</v>
      </c>
      <c r="C141" t="s">
        <v>106</v>
      </c>
      <c r="D141" s="2">
        <v>30900000</v>
      </c>
    </row>
    <row r="142" spans="1:4" outlineLevel="1" x14ac:dyDescent="0.2">
      <c r="A142" t="s">
        <v>93</v>
      </c>
      <c r="B142" s="1" t="s">
        <v>121</v>
      </c>
      <c r="C142" t="s">
        <v>107</v>
      </c>
      <c r="D142" s="2">
        <v>133000000</v>
      </c>
    </row>
    <row r="143" spans="1:4" outlineLevel="1" x14ac:dyDescent="0.2">
      <c r="A143" t="s">
        <v>93</v>
      </c>
      <c r="B143" s="1" t="s">
        <v>121</v>
      </c>
      <c r="C143" t="s">
        <v>108</v>
      </c>
      <c r="D143" s="2">
        <v>263920180</v>
      </c>
    </row>
    <row r="144" spans="1:4" outlineLevel="1" x14ac:dyDescent="0.2">
      <c r="A144" t="s">
        <v>93</v>
      </c>
      <c r="B144" s="1" t="s">
        <v>121</v>
      </c>
      <c r="C144" t="s">
        <v>57</v>
      </c>
      <c r="D144" s="2">
        <v>303800000</v>
      </c>
    </row>
    <row r="145" spans="1:4" outlineLevel="1" x14ac:dyDescent="0.2">
      <c r="A145" t="s">
        <v>93</v>
      </c>
      <c r="B145" s="1" t="s">
        <v>121</v>
      </c>
      <c r="C145" t="s">
        <v>96</v>
      </c>
      <c r="D145" s="2">
        <v>575600000</v>
      </c>
    </row>
    <row r="146" spans="1:4" outlineLevel="1" x14ac:dyDescent="0.2">
      <c r="A146" t="s">
        <v>93</v>
      </c>
      <c r="B146" s="1" t="s">
        <v>121</v>
      </c>
      <c r="C146" t="s">
        <v>100</v>
      </c>
      <c r="D146" s="2">
        <v>649400000</v>
      </c>
    </row>
    <row r="147" spans="1:4" outlineLevel="1" x14ac:dyDescent="0.2">
      <c r="A147" t="s">
        <v>93</v>
      </c>
      <c r="B147" s="1" t="s">
        <v>122</v>
      </c>
      <c r="C147" t="s">
        <v>111</v>
      </c>
      <c r="D147" s="2">
        <v>139000000</v>
      </c>
    </row>
    <row r="148" spans="1:4" outlineLevel="1" x14ac:dyDescent="0.2">
      <c r="A148" t="s">
        <v>93</v>
      </c>
      <c r="B148" s="1" t="s">
        <v>122</v>
      </c>
      <c r="C148" t="s">
        <v>110</v>
      </c>
      <c r="D148" s="2">
        <v>475100000</v>
      </c>
    </row>
    <row r="149" spans="1:4" outlineLevel="1" x14ac:dyDescent="0.2">
      <c r="A149" t="s">
        <v>93</v>
      </c>
      <c r="B149" s="1" t="s">
        <v>122</v>
      </c>
      <c r="C149" t="s">
        <v>109</v>
      </c>
      <c r="D149" s="2">
        <v>538400000</v>
      </c>
    </row>
    <row r="150" spans="1:4" outlineLevel="1" x14ac:dyDescent="0.2">
      <c r="A150" t="s">
        <v>93</v>
      </c>
      <c r="B150" s="1" t="s">
        <v>122</v>
      </c>
      <c r="C150" t="s">
        <v>100</v>
      </c>
      <c r="D150" s="2">
        <v>1802400000</v>
      </c>
    </row>
  </sheetData>
  <sortState xmlns:xlrd2="http://schemas.microsoft.com/office/spreadsheetml/2017/richdata2" ref="A2:D150">
    <sortCondition ref="A3:A150"/>
  </sortState>
  <mergeCells count="5">
    <mergeCell ref="A115:C115"/>
    <mergeCell ref="A98:C98"/>
    <mergeCell ref="A82:C82"/>
    <mergeCell ref="A48:C48"/>
    <mergeCell ref="A2:C2"/>
  </mergeCells>
  <conditionalFormatting sqref="D2:D150">
    <cfRule type="cellIs" dxfId="4" priority="1" operator="between">
      <formula>529100001</formula>
      <formula>4980476632</formula>
    </cfRule>
    <cfRule type="cellIs" dxfId="3" priority="2" operator="between">
      <formula>60000001</formula>
      <formula>529100000</formula>
    </cfRule>
    <cfRule type="cellIs" dxfId="2" priority="3" operator="between">
      <formula>5000001</formula>
      <formula>60000000</formula>
    </cfRule>
    <cfRule type="cellIs" dxfId="1" priority="4" operator="between">
      <formula>0</formula>
      <formula>5000000</formula>
    </cfRule>
  </conditionalFormatting>
  <conditionalFormatting sqref="L15">
    <cfRule type="cellIs" dxfId="0" priority="5" operator="between">
      <formula>0</formula>
      <formula>5000000</formula>
    </cfRule>
  </conditionalFormatting>
  <dataValidations count="1">
    <dataValidation type="list" allowBlank="1" showInputMessage="1" showErrorMessage="1" sqref="B3:B47 B49:B81 B83:B97 B99:B114 B116:B150" xr:uid="{6CB925F2-AF5E-9740-8614-C11ADD15A0BB}">
      <formula1>$H$3:$H$8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Dwight Haskins</cp:lastModifiedBy>
  <dcterms:created xsi:type="dcterms:W3CDTF">2025-02-05T01:34:32Z</dcterms:created>
  <dcterms:modified xsi:type="dcterms:W3CDTF">2025-02-26T02:55:19Z</dcterms:modified>
</cp:coreProperties>
</file>